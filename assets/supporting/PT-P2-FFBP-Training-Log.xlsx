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phen\Downloads\"/>
    </mc:Choice>
  </mc:AlternateContent>
  <xr:revisionPtr revIDLastSave="0" documentId="8_{980EFC31-2119-4C4F-B022-A1DA2B85538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FBP Training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9" i="1"/>
  <c r="D3" i="1"/>
  <c r="D4" i="1"/>
  <c r="D5" i="1"/>
  <c r="D6" i="1"/>
  <c r="D7" i="1"/>
  <c r="D8" i="1"/>
  <c r="D2" i="1"/>
  <c r="D16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<sst xmlns="http://schemas.openxmlformats.org/spreadsheetml/2006/main" count="162" uniqueCount="59">
  <si>
    <t>Run ID</t>
  </si>
  <si>
    <t>Date</t>
  </si>
  <si>
    <t>Dataset</t>
  </si>
  <si>
    <t>Input Features</t>
  </si>
  <si>
    <t>Hidden Layers</t>
  </si>
  <si>
    <t>Neurons per Layer</t>
  </si>
  <si>
    <t>Output Neurons</t>
  </si>
  <si>
    <t>Activation Function</t>
  </si>
  <si>
    <t>Learning Rate</t>
  </si>
  <si>
    <t>Optimizer</t>
  </si>
  <si>
    <t>Loss Function</t>
  </si>
  <si>
    <t>Epochs</t>
  </si>
  <si>
    <t>Batch Size</t>
  </si>
  <si>
    <t>Train Loss</t>
  </si>
  <si>
    <t>Validation Loss</t>
  </si>
  <si>
    <t>Train Accuracy (%)</t>
  </si>
  <si>
    <t>Validation Accuracy (%)</t>
  </si>
  <si>
    <t>Precision</t>
  </si>
  <si>
    <t>Recall</t>
  </si>
  <si>
    <t>F1-Score</t>
  </si>
  <si>
    <t>Training Time (min)</t>
  </si>
  <si>
    <t>Early Stopping Epoch</t>
  </si>
  <si>
    <t>Random Seed</t>
  </si>
  <si>
    <t>Status</t>
  </si>
  <si>
    <t>Notes</t>
  </si>
  <si>
    <t>ReLU</t>
  </si>
  <si>
    <t>Adam</t>
  </si>
  <si>
    <t>Cross Entropy</t>
  </si>
  <si>
    <t>EXP-01-KERAS-BASELINE</t>
  </si>
  <si>
    <t>Overfitted</t>
  </si>
  <si>
    <t>EXP-02-KERAS-BASELINE</t>
  </si>
  <si>
    <t>SGD</t>
  </si>
  <si>
    <t>Underfitted</t>
  </si>
  <si>
    <t>Baseline Model</t>
  </si>
  <si>
    <t>EXP-03-KERAS-BASELINE</t>
  </si>
  <si>
    <t>EXP-04-KERAS-BASELINE</t>
  </si>
  <si>
    <t>EXP-05-KERAS-BASELINE</t>
  </si>
  <si>
    <t>EXP-06-KERAS-BASELINE</t>
  </si>
  <si>
    <t>EXP-07-KERAS-BASELINE</t>
  </si>
  <si>
    <t>EXP-08-KERAS-BASELINE</t>
  </si>
  <si>
    <t>EXP-09-KERAS-BASELINE</t>
  </si>
  <si>
    <t>EXP-10-KERAS-BASELINE</t>
  </si>
  <si>
    <t>EXP-11-KERAS-BASELINE</t>
  </si>
  <si>
    <t>EXP-12-KERAS-BASELINE</t>
  </si>
  <si>
    <t>EXP-13-KERAS-BASELINE</t>
  </si>
  <si>
    <t>EXP-14-KERAS-BASELINE</t>
  </si>
  <si>
    <t xml:space="preserve">Added 150 rows to the dataset (50 each category) </t>
  </si>
  <si>
    <t>Dataset total = 195 rows</t>
  </si>
  <si>
    <t>Added another 150 rows to the dataset (345 rows)</t>
  </si>
  <si>
    <t>EXP-15-KERAS-BASELINE</t>
  </si>
  <si>
    <t>EXP-16-KERAS-BASELINE</t>
  </si>
  <si>
    <t>EXP-17-KERAS-BASELINE</t>
  </si>
  <si>
    <t>EXP-18-KERAS-BASELINE</t>
  </si>
  <si>
    <t>EXP-19-KERAS-BASELINE</t>
  </si>
  <si>
    <t>Ideal Fit</t>
  </si>
  <si>
    <t>SaaS Architecture Dataset.csv</t>
  </si>
  <si>
    <t>Best Result (345 rows)</t>
  </si>
  <si>
    <t>EXP-20-KERAS-BASELINE</t>
  </si>
  <si>
    <t>EXP-21-KERAS-BASELINE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</si>
</sst>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PivotTable Style 1" table="0" count="0" xr9:uid="{73F88D8F-B0EE-4F75-AA9E-FD5583EABD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topLeftCell="F1" zoomScale="85" zoomScaleNormal="85" workbookViewId="0">
      <selection activeCell="N19" sqref="N19"/>
    </sheetView>
  </sheetViews>
  <sheetFormatPr defaultRowHeight="14.4" x14ac:dyDescent="0.3"/>
  <cols>
    <col min="1" max="1" width="13.21875" customWidth="1"/>
    <col min="2" max="2" width="15.109375" style="3" customWidth="1"/>
    <col min="3" max="3" width="0.77734375" customWidth="1"/>
    <col min="4" max="4" width="12.5546875" customWidth="1"/>
    <col min="5" max="5" width="12.109375" customWidth="1"/>
    <col min="6" max="6" width="15.5546875" bestFit="1" customWidth="1"/>
    <col min="7" max="7" width="13.88671875" bestFit="1" customWidth="1"/>
    <col min="8" max="8" width="16.33203125" bestFit="1" customWidth="1"/>
    <col min="9" max="9" width="11.6640625" bestFit="1" customWidth="1"/>
    <col min="11" max="11" width="12.5546875" bestFit="1" customWidth="1"/>
    <col min="12" max="12" width="9.109375" customWidth="1"/>
    <col min="13" max="13" width="9" customWidth="1"/>
    <col min="14" max="14" width="8.6640625" bestFit="1" customWidth="1"/>
    <col min="15" max="15" width="12.6640625" bestFit="1" customWidth="1"/>
    <col min="16" max="16" width="15.33203125" bestFit="1" customWidth="1"/>
    <col min="17" max="17" width="19.33203125" bestFit="1" customWidth="1"/>
    <col min="18" max="18" width="8.109375" bestFit="1" customWidth="1"/>
    <col min="19" max="19" width="7.21875" bestFit="1" customWidth="1"/>
    <col min="20" max="20" width="7.77734375" customWidth="1"/>
    <col min="21" max="21" width="8.6640625" customWidth="1"/>
    <col min="22" max="22" width="8" customWidth="1"/>
    <col min="23" max="23" width="11.88671875" bestFit="1" customWidth="1"/>
    <col min="24" max="24" width="10.5546875" bestFit="1" customWidth="1"/>
    <col min="25" max="25" width="24.44140625" style="7" customWidth="1"/>
  </cols>
  <sheetData>
    <row r="1" spans="1:25" x14ac:dyDescent="0.3">
      <c r="A1" s="8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 t="s">
        <v>24</v>
      </c>
    </row>
    <row r="2" spans="1:25" x14ac:dyDescent="0.3">
      <c r="A2" t="s">
        <v>28</v>
      </c>
      <c r="B2" s="3">
        <v>46245</v>
      </c>
      <c r="C2" t="s">
        <v>55</v>
      </c>
      <c r="D2" s="12">
        <f>45*3</f>
        <v>135</v>
      </c>
      <c r="E2">
        <v>1</v>
      </c>
      <c r="F2">
        <v>64</v>
      </c>
      <c r="G2">
        <v>3</v>
      </c>
      <c r="H2" t="s">
        <v>25</v>
      </c>
      <c r="I2">
        <v>5.0000000000000001E-3</v>
      </c>
      <c r="J2" t="s">
        <v>26</v>
      </c>
      <c r="K2" t="s">
        <v>27</v>
      </c>
      <c r="L2">
        <v>15</v>
      </c>
      <c r="M2">
        <v>32</v>
      </c>
      <c r="N2">
        <v>0.56710000000000005</v>
      </c>
      <c r="O2">
        <v>1.1072</v>
      </c>
      <c r="P2">
        <v>100</v>
      </c>
      <c r="Q2" s="2">
        <v>0.28570000000000001</v>
      </c>
      <c r="R2">
        <v>8.1600000000000006E-2</v>
      </c>
      <c r="S2">
        <v>0.28570000000000001</v>
      </c>
      <c r="T2">
        <v>0.127</v>
      </c>
      <c r="W2">
        <v>42</v>
      </c>
      <c r="X2" t="s">
        <v>29</v>
      </c>
      <c r="Y2" s="7" t="s">
        <v>33</v>
      </c>
    </row>
    <row r="3" spans="1:25" x14ac:dyDescent="0.3">
      <c r="A3" s="6" t="s">
        <v>30</v>
      </c>
      <c r="B3" s="3">
        <v>46245</v>
      </c>
      <c r="C3" s="11" t="s">
        <v>55</v>
      </c>
      <c r="D3" s="12">
        <f t="shared" ref="D3:D8" si="0">45*3</f>
        <v>135</v>
      </c>
      <c r="E3" s="6">
        <v>1</v>
      </c>
      <c r="F3" s="6">
        <v>64</v>
      </c>
      <c r="G3" s="6">
        <v>3</v>
      </c>
      <c r="H3" s="6" t="s">
        <v>25</v>
      </c>
      <c r="I3" s="6">
        <v>3.0000000000000001E-3</v>
      </c>
      <c r="J3" s="6" t="s">
        <v>26</v>
      </c>
      <c r="K3" s="6" t="s">
        <v>27</v>
      </c>
      <c r="L3" s="6">
        <v>25</v>
      </c>
      <c r="M3" s="6">
        <v>32</v>
      </c>
      <c r="N3" s="6">
        <v>0.41439999999999999</v>
      </c>
      <c r="O3" s="6">
        <v>1.0773999999999999</v>
      </c>
      <c r="P3" s="6">
        <v>100</v>
      </c>
      <c r="Q3" s="6">
        <v>42.86</v>
      </c>
      <c r="R3" s="6">
        <v>0.52380000000000004</v>
      </c>
      <c r="S3" s="6">
        <v>0.42859999999999998</v>
      </c>
      <c r="T3" s="6">
        <v>0.45710000000000001</v>
      </c>
      <c r="U3" s="6"/>
      <c r="V3" s="6"/>
      <c r="W3" s="6">
        <v>42</v>
      </c>
      <c r="X3" s="6" t="s">
        <v>29</v>
      </c>
      <c r="Y3" s="7" t="s">
        <v>33</v>
      </c>
    </row>
    <row r="4" spans="1:25" x14ac:dyDescent="0.3">
      <c r="A4" s="6" t="s">
        <v>34</v>
      </c>
      <c r="B4" s="3">
        <v>46245</v>
      </c>
      <c r="C4" s="11" t="s">
        <v>55</v>
      </c>
      <c r="D4" s="12">
        <f t="shared" si="0"/>
        <v>135</v>
      </c>
      <c r="E4" s="6">
        <v>1</v>
      </c>
      <c r="F4" s="6">
        <v>64</v>
      </c>
      <c r="G4" s="6">
        <v>3</v>
      </c>
      <c r="H4" s="6" t="s">
        <v>25</v>
      </c>
      <c r="I4" s="6">
        <v>3.0000000000000001E-3</v>
      </c>
      <c r="J4" s="6" t="s">
        <v>31</v>
      </c>
      <c r="K4" s="6" t="s">
        <v>27</v>
      </c>
      <c r="L4" s="6">
        <v>25</v>
      </c>
      <c r="M4" s="6">
        <v>32</v>
      </c>
      <c r="N4" s="6">
        <v>1.0969</v>
      </c>
      <c r="O4" s="6">
        <v>1.1001000000000001</v>
      </c>
      <c r="P4" s="6">
        <v>45.16</v>
      </c>
      <c r="Q4" s="6">
        <v>14.29</v>
      </c>
      <c r="R4" s="6">
        <v>5.7099999999999998E-2</v>
      </c>
      <c r="S4" s="6">
        <v>0.1429</v>
      </c>
      <c r="T4" s="6">
        <v>8.1600000000000006E-2</v>
      </c>
      <c r="U4" s="6"/>
      <c r="V4" s="6"/>
      <c r="W4" s="6">
        <v>42</v>
      </c>
      <c r="X4" s="6" t="s">
        <v>32</v>
      </c>
      <c r="Y4" s="7" t="s">
        <v>33</v>
      </c>
    </row>
    <row r="5" spans="1:25" x14ac:dyDescent="0.3">
      <c r="A5" s="6" t="s">
        <v>35</v>
      </c>
      <c r="B5" s="3">
        <v>46245</v>
      </c>
      <c r="C5" s="11" t="s">
        <v>55</v>
      </c>
      <c r="D5" s="12">
        <f t="shared" si="0"/>
        <v>135</v>
      </c>
      <c r="E5" s="6">
        <v>1</v>
      </c>
      <c r="F5" s="6">
        <v>64</v>
      </c>
      <c r="G5" s="6">
        <v>3</v>
      </c>
      <c r="H5" s="6" t="s">
        <v>25</v>
      </c>
      <c r="I5" s="6">
        <v>5.0000000000000001E-3</v>
      </c>
      <c r="J5" s="6" t="s">
        <v>31</v>
      </c>
      <c r="K5" s="6" t="s">
        <v>27</v>
      </c>
      <c r="L5" s="6">
        <v>25</v>
      </c>
      <c r="M5" s="6">
        <v>32</v>
      </c>
      <c r="N5" s="6">
        <v>1.0979000000000001</v>
      </c>
      <c r="O5" s="6">
        <v>1.0984</v>
      </c>
      <c r="P5" s="6">
        <v>35.479999999999997</v>
      </c>
      <c r="Q5" s="6">
        <v>14.29</v>
      </c>
      <c r="R5" s="6">
        <v>4.7600000000000003E-2</v>
      </c>
      <c r="S5" s="6">
        <v>0.1429</v>
      </c>
      <c r="T5" s="6">
        <v>7.1400000000000005E-2</v>
      </c>
      <c r="U5" s="6"/>
      <c r="V5" s="6"/>
      <c r="W5" s="6">
        <v>42</v>
      </c>
      <c r="X5" s="6" t="s">
        <v>32</v>
      </c>
      <c r="Y5" s="7" t="s">
        <v>33</v>
      </c>
    </row>
    <row r="6" spans="1:25" x14ac:dyDescent="0.3">
      <c r="A6" s="6" t="s">
        <v>36</v>
      </c>
      <c r="B6" s="3">
        <v>46245</v>
      </c>
      <c r="C6" s="11" t="s">
        <v>55</v>
      </c>
      <c r="D6" s="12">
        <f t="shared" si="0"/>
        <v>135</v>
      </c>
      <c r="E6" s="6">
        <v>1</v>
      </c>
      <c r="F6" s="6">
        <v>128</v>
      </c>
      <c r="G6" s="6">
        <v>3</v>
      </c>
      <c r="H6" s="6" t="s">
        <v>25</v>
      </c>
      <c r="I6" s="6">
        <v>5.0000000000000001E-3</v>
      </c>
      <c r="J6" s="6" t="s">
        <v>31</v>
      </c>
      <c r="K6" s="6" t="s">
        <v>27</v>
      </c>
      <c r="L6" s="6">
        <v>25</v>
      </c>
      <c r="M6" s="6">
        <v>32</v>
      </c>
      <c r="N6" s="6">
        <v>1.097</v>
      </c>
      <c r="O6" s="6">
        <v>1.0976999999999999</v>
      </c>
      <c r="P6" s="6">
        <v>32.26</v>
      </c>
      <c r="Q6" s="6">
        <v>42.86</v>
      </c>
      <c r="R6" s="6">
        <v>0.3286</v>
      </c>
      <c r="S6" s="6">
        <v>0.42859999999999998</v>
      </c>
      <c r="T6" s="6">
        <v>0.3347</v>
      </c>
      <c r="U6" s="6"/>
      <c r="V6" s="6"/>
      <c r="W6" s="6">
        <v>42</v>
      </c>
      <c r="X6" s="6" t="s">
        <v>32</v>
      </c>
      <c r="Y6" s="7" t="s">
        <v>33</v>
      </c>
    </row>
    <row r="7" spans="1:25" x14ac:dyDescent="0.3">
      <c r="A7" s="6" t="s">
        <v>37</v>
      </c>
      <c r="B7" s="3">
        <v>46245</v>
      </c>
      <c r="C7" s="11" t="s">
        <v>55</v>
      </c>
      <c r="D7" s="12">
        <f t="shared" si="0"/>
        <v>135</v>
      </c>
      <c r="E7" s="6">
        <v>1</v>
      </c>
      <c r="F7" s="6">
        <v>64</v>
      </c>
      <c r="G7" s="6">
        <v>3</v>
      </c>
      <c r="H7" s="6" t="s">
        <v>25</v>
      </c>
      <c r="I7" s="6">
        <v>5.0000000000000001E-3</v>
      </c>
      <c r="J7" s="6" t="s">
        <v>26</v>
      </c>
      <c r="K7" s="6" t="s">
        <v>27</v>
      </c>
      <c r="L7" s="6">
        <v>22</v>
      </c>
      <c r="M7" s="6">
        <v>8</v>
      </c>
      <c r="N7" s="6">
        <v>2.2000000000000001E-3</v>
      </c>
      <c r="O7" s="6">
        <v>1.2626999999999999</v>
      </c>
      <c r="P7" s="6">
        <v>100</v>
      </c>
      <c r="Q7" s="6">
        <v>28.57</v>
      </c>
      <c r="R7" s="6">
        <v>0.5</v>
      </c>
      <c r="S7" s="6">
        <v>0.28570000000000001</v>
      </c>
      <c r="T7" s="6">
        <v>0.3095</v>
      </c>
      <c r="U7" s="6"/>
      <c r="V7" s="6"/>
      <c r="W7" s="6">
        <v>42</v>
      </c>
      <c r="X7" s="6" t="s">
        <v>29</v>
      </c>
      <c r="Y7" s="7" t="s">
        <v>33</v>
      </c>
    </row>
    <row r="8" spans="1:25" x14ac:dyDescent="0.3">
      <c r="A8" s="6" t="s">
        <v>38</v>
      </c>
      <c r="B8" s="3">
        <v>46245</v>
      </c>
      <c r="C8" s="11" t="s">
        <v>55</v>
      </c>
      <c r="D8" s="12">
        <f t="shared" si="0"/>
        <v>135</v>
      </c>
      <c r="E8" s="6">
        <v>1</v>
      </c>
      <c r="F8" s="6">
        <v>64</v>
      </c>
      <c r="G8" s="6">
        <v>3</v>
      </c>
      <c r="H8" s="6" t="s">
        <v>25</v>
      </c>
      <c r="I8" s="6">
        <v>5.0000000000000001E-3</v>
      </c>
      <c r="J8" s="6" t="s">
        <v>26</v>
      </c>
      <c r="K8" s="6" t="s">
        <v>27</v>
      </c>
      <c r="L8" s="6">
        <v>10</v>
      </c>
      <c r="M8" s="6">
        <v>8</v>
      </c>
      <c r="N8" s="6">
        <v>0.16550000000000001</v>
      </c>
      <c r="O8" s="6">
        <v>1.1052</v>
      </c>
      <c r="P8" s="6">
        <v>100</v>
      </c>
      <c r="Q8" s="6">
        <v>57.14</v>
      </c>
      <c r="R8" s="6">
        <v>0.66669999999999996</v>
      </c>
      <c r="S8" s="6">
        <v>0.57140000000000002</v>
      </c>
      <c r="T8" s="6">
        <v>0.6</v>
      </c>
      <c r="U8" s="6"/>
      <c r="V8" s="6"/>
      <c r="W8" s="6">
        <v>42</v>
      </c>
      <c r="X8" s="6" t="s">
        <v>29</v>
      </c>
      <c r="Y8" s="7" t="s">
        <v>33</v>
      </c>
    </row>
    <row r="9" spans="1:25" ht="28.8" x14ac:dyDescent="0.3">
      <c r="A9" s="9" t="s">
        <v>39</v>
      </c>
      <c r="B9" s="3">
        <v>46245</v>
      </c>
      <c r="C9" s="11" t="s">
        <v>55</v>
      </c>
      <c r="D9" s="12">
        <f>195*3</f>
        <v>585</v>
      </c>
      <c r="E9" s="9">
        <v>1</v>
      </c>
      <c r="F9" s="9">
        <v>64</v>
      </c>
      <c r="G9" s="9">
        <v>3</v>
      </c>
      <c r="H9" s="9" t="s">
        <v>25</v>
      </c>
      <c r="I9" s="9">
        <v>5.0000000000000001E-3</v>
      </c>
      <c r="J9" s="9" t="s">
        <v>26</v>
      </c>
      <c r="K9" s="9" t="s">
        <v>27</v>
      </c>
      <c r="L9" s="9">
        <v>10</v>
      </c>
      <c r="M9" s="9">
        <v>8</v>
      </c>
      <c r="N9" s="9">
        <v>1.4E-3</v>
      </c>
      <c r="O9" s="9">
        <v>0.71889999999999998</v>
      </c>
      <c r="P9" s="9">
        <v>100</v>
      </c>
      <c r="Q9" s="10">
        <v>72.41</v>
      </c>
      <c r="R9" s="9">
        <v>0.72589999999999999</v>
      </c>
      <c r="S9" s="9">
        <v>0.72409999999999997</v>
      </c>
      <c r="T9" s="9">
        <v>0.7238</v>
      </c>
      <c r="U9" s="9"/>
      <c r="V9" s="9"/>
      <c r="W9" s="9">
        <v>42</v>
      </c>
      <c r="X9" s="9" t="s">
        <v>29</v>
      </c>
      <c r="Y9" s="7" t="s">
        <v>46</v>
      </c>
    </row>
    <row r="10" spans="1:25" x14ac:dyDescent="0.3">
      <c r="A10" s="9" t="s">
        <v>40</v>
      </c>
      <c r="B10" s="3">
        <v>46246</v>
      </c>
      <c r="C10" s="11" t="s">
        <v>55</v>
      </c>
      <c r="D10" s="12">
        <f t="shared" ref="D10:D15" si="1">195*3</f>
        <v>585</v>
      </c>
      <c r="E10" s="9">
        <v>1</v>
      </c>
      <c r="F10" s="9">
        <v>64</v>
      </c>
      <c r="G10" s="9">
        <v>3</v>
      </c>
      <c r="H10" s="9" t="s">
        <v>25</v>
      </c>
      <c r="I10" s="9">
        <v>5.0000000000000001E-3</v>
      </c>
      <c r="J10" s="9" t="s">
        <v>26</v>
      </c>
      <c r="K10" s="9" t="s">
        <v>27</v>
      </c>
      <c r="L10" s="9">
        <v>10</v>
      </c>
      <c r="M10" s="9">
        <v>8</v>
      </c>
      <c r="N10" s="9">
        <v>1.1999999999999999E-3</v>
      </c>
      <c r="O10" s="9">
        <v>0.66769999999999996</v>
      </c>
      <c r="P10" s="9">
        <v>100</v>
      </c>
      <c r="Q10" s="10">
        <v>75.86</v>
      </c>
      <c r="R10" s="9">
        <v>0.76490000000000002</v>
      </c>
      <c r="S10" s="9">
        <v>0.75860000000000005</v>
      </c>
      <c r="T10" s="9">
        <v>0.75690000000000002</v>
      </c>
      <c r="U10" s="9"/>
      <c r="V10" s="9"/>
      <c r="W10" s="9">
        <v>42</v>
      </c>
      <c r="X10" s="9" t="s">
        <v>29</v>
      </c>
      <c r="Y10" s="7" t="s">
        <v>47</v>
      </c>
    </row>
    <row r="11" spans="1:25" x14ac:dyDescent="0.3">
      <c r="A11" s="9" t="s">
        <v>41</v>
      </c>
      <c r="B11" s="3">
        <v>46246</v>
      </c>
      <c r="C11" s="11" t="s">
        <v>55</v>
      </c>
      <c r="D11" s="12">
        <f t="shared" si="1"/>
        <v>585</v>
      </c>
      <c r="E11" s="9">
        <v>1</v>
      </c>
      <c r="F11" s="9">
        <v>64</v>
      </c>
      <c r="G11" s="9">
        <v>3</v>
      </c>
      <c r="H11" s="9" t="s">
        <v>25</v>
      </c>
      <c r="I11" s="9">
        <v>2E-3</v>
      </c>
      <c r="J11" s="9" t="s">
        <v>26</v>
      </c>
      <c r="K11" s="9" t="s">
        <v>27</v>
      </c>
      <c r="L11" s="9">
        <v>10</v>
      </c>
      <c r="M11" s="9">
        <v>8</v>
      </c>
      <c r="N11" s="9">
        <v>1.54E-2</v>
      </c>
      <c r="O11" s="9">
        <v>0.6109</v>
      </c>
      <c r="P11" s="9">
        <v>100</v>
      </c>
      <c r="Q11" s="10">
        <v>72.41</v>
      </c>
      <c r="R11" s="9">
        <v>0.72840000000000005</v>
      </c>
      <c r="S11" s="9">
        <v>0.72409999999999997</v>
      </c>
      <c r="T11" s="9">
        <v>0.72509999999999997</v>
      </c>
      <c r="U11" s="9"/>
      <c r="V11" s="9"/>
      <c r="W11" s="9">
        <v>42</v>
      </c>
      <c r="X11" s="9" t="s">
        <v>29</v>
      </c>
    </row>
    <row r="12" spans="1:25" x14ac:dyDescent="0.3">
      <c r="A12" s="9" t="s">
        <v>42</v>
      </c>
      <c r="B12" s="3">
        <v>46246</v>
      </c>
      <c r="C12" s="11" t="s">
        <v>55</v>
      </c>
      <c r="D12" s="12">
        <f t="shared" si="1"/>
        <v>585</v>
      </c>
      <c r="E12" s="9">
        <v>1</v>
      </c>
      <c r="F12" s="9">
        <v>64</v>
      </c>
      <c r="G12" s="9">
        <v>3</v>
      </c>
      <c r="H12" s="9" t="s">
        <v>25</v>
      </c>
      <c r="I12" s="9">
        <v>2E-3</v>
      </c>
      <c r="J12" s="9" t="s">
        <v>26</v>
      </c>
      <c r="K12" s="9" t="s">
        <v>27</v>
      </c>
      <c r="L12" s="9">
        <v>25</v>
      </c>
      <c r="M12" s="9">
        <v>32</v>
      </c>
      <c r="N12" s="9">
        <v>1.4999999999999999E-2</v>
      </c>
      <c r="O12" s="9">
        <v>0.72870000000000001</v>
      </c>
      <c r="P12" s="9">
        <v>100</v>
      </c>
      <c r="Q12" s="10">
        <v>68.97</v>
      </c>
      <c r="R12" s="9">
        <v>0.69399999999999995</v>
      </c>
      <c r="S12" s="9">
        <v>0.68969999999999998</v>
      </c>
      <c r="T12" s="9">
        <v>0.69030000000000002</v>
      </c>
      <c r="U12" s="9"/>
      <c r="V12" s="9"/>
      <c r="W12" s="9">
        <v>42</v>
      </c>
      <c r="X12" s="9" t="s">
        <v>29</v>
      </c>
    </row>
    <row r="13" spans="1:25" x14ac:dyDescent="0.3">
      <c r="A13" s="9" t="s">
        <v>43</v>
      </c>
      <c r="B13" s="3">
        <v>46246</v>
      </c>
      <c r="C13" s="11" t="s">
        <v>55</v>
      </c>
      <c r="D13" s="12">
        <f t="shared" si="1"/>
        <v>585</v>
      </c>
      <c r="E13" s="9">
        <v>1</v>
      </c>
      <c r="F13" s="9">
        <v>64</v>
      </c>
      <c r="G13" s="9">
        <v>3</v>
      </c>
      <c r="H13" s="9" t="s">
        <v>25</v>
      </c>
      <c r="I13" s="9">
        <v>2E-3</v>
      </c>
      <c r="J13" s="9" t="s">
        <v>31</v>
      </c>
      <c r="K13" s="9" t="s">
        <v>27</v>
      </c>
      <c r="L13" s="9">
        <v>25</v>
      </c>
      <c r="M13" s="9">
        <v>32</v>
      </c>
      <c r="N13" s="9">
        <v>1.0963000000000001</v>
      </c>
      <c r="O13" s="9">
        <v>1.0968</v>
      </c>
      <c r="P13" s="9">
        <v>31.62</v>
      </c>
      <c r="Q13" s="10">
        <v>41.38</v>
      </c>
      <c r="R13" s="9">
        <v>0.19209999999999999</v>
      </c>
      <c r="S13" s="9">
        <v>0.4138</v>
      </c>
      <c r="T13" s="9">
        <v>0.26240000000000002</v>
      </c>
      <c r="U13" s="9"/>
      <c r="V13" s="9"/>
      <c r="W13" s="9">
        <v>42</v>
      </c>
      <c r="X13" s="9" t="s">
        <v>32</v>
      </c>
    </row>
    <row r="14" spans="1:25" x14ac:dyDescent="0.3">
      <c r="A14" s="9" t="s">
        <v>44</v>
      </c>
      <c r="B14" s="3">
        <v>46246</v>
      </c>
      <c r="C14" s="11" t="s">
        <v>55</v>
      </c>
      <c r="D14" s="12">
        <f t="shared" si="1"/>
        <v>585</v>
      </c>
      <c r="E14" s="9">
        <v>1</v>
      </c>
      <c r="F14" s="9">
        <v>64</v>
      </c>
      <c r="G14" s="9">
        <v>3</v>
      </c>
      <c r="H14" s="9" t="s">
        <v>25</v>
      </c>
      <c r="I14" s="9">
        <v>0.01</v>
      </c>
      <c r="J14" s="9" t="s">
        <v>31</v>
      </c>
      <c r="K14" s="9" t="s">
        <v>27</v>
      </c>
      <c r="L14" s="9">
        <v>25</v>
      </c>
      <c r="M14" s="9">
        <v>32</v>
      </c>
      <c r="N14" s="9">
        <v>1.0934999999999999</v>
      </c>
      <c r="O14" s="9">
        <v>1.0907</v>
      </c>
      <c r="P14" s="9">
        <v>36.03</v>
      </c>
      <c r="Q14" s="10">
        <v>44.83</v>
      </c>
      <c r="R14" s="9">
        <v>0.20100000000000001</v>
      </c>
      <c r="S14" s="9">
        <v>0.44829999999999998</v>
      </c>
      <c r="T14" s="9">
        <v>0.27750000000000002</v>
      </c>
      <c r="U14" s="9"/>
      <c r="V14" s="9"/>
      <c r="W14" s="9">
        <v>42</v>
      </c>
      <c r="X14" s="9" t="s">
        <v>32</v>
      </c>
    </row>
    <row r="15" spans="1:25" x14ac:dyDescent="0.3">
      <c r="A15" s="9" t="s">
        <v>45</v>
      </c>
      <c r="B15" s="3">
        <v>46246</v>
      </c>
      <c r="C15" s="11" t="s">
        <v>55</v>
      </c>
      <c r="D15" s="12">
        <f t="shared" si="1"/>
        <v>585</v>
      </c>
      <c r="E15" s="9">
        <v>1</v>
      </c>
      <c r="F15" s="9">
        <v>128</v>
      </c>
      <c r="G15" s="9">
        <v>3</v>
      </c>
      <c r="H15" s="9" t="s">
        <v>25</v>
      </c>
      <c r="I15" s="9">
        <v>1E-3</v>
      </c>
      <c r="J15" s="9" t="s">
        <v>26</v>
      </c>
      <c r="K15" s="9" t="s">
        <v>27</v>
      </c>
      <c r="L15" s="9">
        <v>60</v>
      </c>
      <c r="M15" s="9">
        <v>32</v>
      </c>
      <c r="N15" s="9">
        <v>4.7999999999999996E-3</v>
      </c>
      <c r="O15" s="9">
        <v>0.65029999999999999</v>
      </c>
      <c r="P15" s="9">
        <v>100</v>
      </c>
      <c r="Q15" s="10">
        <v>68.97</v>
      </c>
      <c r="R15" s="9">
        <v>0.68969999999999998</v>
      </c>
      <c r="S15" s="9">
        <v>0.68969999999999998</v>
      </c>
      <c r="T15" s="9">
        <v>0.68969999999999998</v>
      </c>
      <c r="U15" s="9"/>
      <c r="V15" s="9"/>
      <c r="W15" s="9">
        <v>42</v>
      </c>
      <c r="X15" s="9" t="s">
        <v>29</v>
      </c>
    </row>
    <row r="16" spans="1:25" ht="28.8" x14ac:dyDescent="0.3">
      <c r="A16" s="11" t="s">
        <v>49</v>
      </c>
      <c r="B16" s="3">
        <v>46246</v>
      </c>
      <c r="C16" s="11" t="s">
        <v>55</v>
      </c>
      <c r="D16" s="12">
        <f t="shared" ref="D4:D22" si="2">345*3</f>
        <v>1035</v>
      </c>
      <c r="E16" s="11">
        <v>1</v>
      </c>
      <c r="F16" s="11">
        <v>128</v>
      </c>
      <c r="G16" s="11">
        <v>3</v>
      </c>
      <c r="H16" s="11" t="s">
        <v>25</v>
      </c>
      <c r="I16" s="11">
        <v>1E-3</v>
      </c>
      <c r="J16" s="11" t="s">
        <v>26</v>
      </c>
      <c r="K16" s="11" t="s">
        <v>27</v>
      </c>
      <c r="L16" s="11">
        <v>12</v>
      </c>
      <c r="M16" s="11">
        <v>32</v>
      </c>
      <c r="N16" s="11">
        <v>0.25340000000000001</v>
      </c>
      <c r="O16" s="11">
        <v>0.55489999999999995</v>
      </c>
      <c r="P16" s="11">
        <v>100</v>
      </c>
      <c r="Q16" s="11">
        <v>75</v>
      </c>
      <c r="R16" s="11">
        <v>0.8034</v>
      </c>
      <c r="S16" s="11">
        <v>0.75</v>
      </c>
      <c r="T16" s="11">
        <v>0.751</v>
      </c>
      <c r="U16" s="11"/>
      <c r="V16" s="11"/>
      <c r="W16" s="11">
        <v>42</v>
      </c>
      <c r="X16" s="11" t="s">
        <v>29</v>
      </c>
      <c r="Y16" s="7" t="s">
        <v>48</v>
      </c>
    </row>
    <row r="17" spans="1:25" x14ac:dyDescent="0.3">
      <c r="A17" s="11" t="s">
        <v>50</v>
      </c>
      <c r="B17" s="3">
        <v>46246</v>
      </c>
      <c r="C17" s="11" t="s">
        <v>55</v>
      </c>
      <c r="D17" s="12">
        <f t="shared" si="2"/>
        <v>1035</v>
      </c>
      <c r="E17" s="11">
        <v>1</v>
      </c>
      <c r="F17" s="11">
        <v>128</v>
      </c>
      <c r="G17" s="11">
        <v>3</v>
      </c>
      <c r="H17" s="11" t="s">
        <v>25</v>
      </c>
      <c r="I17" s="11">
        <v>1E-3</v>
      </c>
      <c r="J17" s="11" t="s">
        <v>26</v>
      </c>
      <c r="K17" s="11" t="s">
        <v>27</v>
      </c>
      <c r="L17" s="11">
        <v>12</v>
      </c>
      <c r="M17" s="11">
        <v>24</v>
      </c>
      <c r="N17" s="11">
        <v>0.11210000000000001</v>
      </c>
      <c r="O17" s="11">
        <v>0.44429999999999997</v>
      </c>
      <c r="P17" s="11">
        <v>100</v>
      </c>
      <c r="Q17" s="11">
        <v>78.849999999999994</v>
      </c>
      <c r="R17" s="11">
        <v>0.81059999999999999</v>
      </c>
      <c r="S17" s="11">
        <v>0.78849999999999998</v>
      </c>
      <c r="T17" s="11">
        <v>0.78639999999999999</v>
      </c>
      <c r="U17" s="11"/>
      <c r="V17" s="11"/>
      <c r="W17" s="11">
        <v>42</v>
      </c>
      <c r="X17" s="11" t="s">
        <v>29</v>
      </c>
    </row>
    <row r="18" spans="1:25" x14ac:dyDescent="0.3">
      <c r="A18" s="11" t="s">
        <v>51</v>
      </c>
      <c r="B18" s="3">
        <v>46246</v>
      </c>
      <c r="C18" s="11" t="s">
        <v>55</v>
      </c>
      <c r="D18" s="12">
        <f t="shared" si="2"/>
        <v>1035</v>
      </c>
      <c r="E18" s="11">
        <v>1</v>
      </c>
      <c r="F18" s="11">
        <v>64</v>
      </c>
      <c r="G18" s="11">
        <v>3</v>
      </c>
      <c r="H18" s="11" t="s">
        <v>25</v>
      </c>
      <c r="I18" s="11">
        <v>2E-3</v>
      </c>
      <c r="J18" s="11" t="s">
        <v>26</v>
      </c>
      <c r="K18" s="11" t="s">
        <v>27</v>
      </c>
      <c r="L18" s="11">
        <v>12</v>
      </c>
      <c r="M18" s="11">
        <v>32</v>
      </c>
      <c r="N18" s="11">
        <v>3.8600000000000002E-2</v>
      </c>
      <c r="O18" s="11">
        <v>0.39269999999999999</v>
      </c>
      <c r="P18" s="11">
        <v>100</v>
      </c>
      <c r="Q18" s="11">
        <v>84.62</v>
      </c>
      <c r="R18" s="11">
        <v>0.84830000000000005</v>
      </c>
      <c r="S18" s="11">
        <v>0.84619999999999995</v>
      </c>
      <c r="T18" s="11">
        <v>0.84540000000000004</v>
      </c>
      <c r="U18" s="11"/>
      <c r="V18" s="11"/>
      <c r="W18" s="11">
        <v>42</v>
      </c>
      <c r="X18" s="11" t="s">
        <v>29</v>
      </c>
    </row>
    <row r="19" spans="1:25" x14ac:dyDescent="0.3">
      <c r="A19" s="11" t="s">
        <v>52</v>
      </c>
      <c r="B19" s="3">
        <v>46246</v>
      </c>
      <c r="C19" s="11" t="s">
        <v>55</v>
      </c>
      <c r="D19" s="12">
        <f t="shared" si="2"/>
        <v>1035</v>
      </c>
      <c r="E19" s="11">
        <v>1</v>
      </c>
      <c r="F19" s="11">
        <v>64</v>
      </c>
      <c r="G19" s="11">
        <v>3</v>
      </c>
      <c r="H19" s="11" t="s">
        <v>25</v>
      </c>
      <c r="I19" s="11">
        <v>2E-3</v>
      </c>
      <c r="J19" s="11" t="s">
        <v>26</v>
      </c>
      <c r="K19" s="11" t="s">
        <v>27</v>
      </c>
      <c r="L19" s="11">
        <v>8</v>
      </c>
      <c r="M19" s="11">
        <v>32</v>
      </c>
      <c r="N19" s="11">
        <v>0.26929999999999998</v>
      </c>
      <c r="O19" s="11">
        <v>0.52690000000000003</v>
      </c>
      <c r="P19" s="11">
        <v>99.59</v>
      </c>
      <c r="Q19" s="11">
        <v>84.62</v>
      </c>
      <c r="R19" s="11">
        <v>0.8508</v>
      </c>
      <c r="S19" s="11">
        <v>0.84619999999999995</v>
      </c>
      <c r="T19" s="11">
        <v>0.84519999999999995</v>
      </c>
      <c r="U19" s="11"/>
      <c r="V19" s="11"/>
      <c r="W19" s="11">
        <v>42</v>
      </c>
      <c r="X19" s="11" t="s">
        <v>54</v>
      </c>
      <c r="Y19" s="7" t="s">
        <v>56</v>
      </c>
    </row>
    <row r="20" spans="1:25" x14ac:dyDescent="0.3">
      <c r="A20" s="12" t="s">
        <v>53</v>
      </c>
      <c r="B20" s="3">
        <v>46246</v>
      </c>
      <c r="C20" s="12" t="s">
        <v>55</v>
      </c>
      <c r="D20" s="12">
        <f t="shared" si="2"/>
        <v>1035</v>
      </c>
      <c r="E20" s="12">
        <v>1</v>
      </c>
      <c r="F20" s="12">
        <v>64</v>
      </c>
      <c r="G20" s="12">
        <v>3</v>
      </c>
      <c r="H20" s="12" t="s">
        <v>25</v>
      </c>
      <c r="I20" s="12">
        <v>2E-3</v>
      </c>
      <c r="J20" s="12" t="s">
        <v>26</v>
      </c>
      <c r="K20" s="12" t="s">
        <v>27</v>
      </c>
      <c r="L20" s="12">
        <v>8</v>
      </c>
      <c r="M20" s="12">
        <v>31</v>
      </c>
      <c r="N20" s="12">
        <v>0.26300000000000001</v>
      </c>
      <c r="O20" s="12">
        <v>0.55349999999999999</v>
      </c>
      <c r="P20" s="12">
        <v>99.59</v>
      </c>
      <c r="Q20" s="12">
        <v>78.849999999999994</v>
      </c>
      <c r="R20" s="12">
        <v>0.81010000000000004</v>
      </c>
      <c r="S20" s="12">
        <v>0.78849999999999998</v>
      </c>
      <c r="T20" s="12">
        <v>0.78580000000000005</v>
      </c>
      <c r="U20" s="12"/>
      <c r="V20" s="12"/>
      <c r="W20" s="12">
        <v>42</v>
      </c>
      <c r="X20" s="12" t="s">
        <v>54</v>
      </c>
    </row>
    <row r="21" spans="1:25" x14ac:dyDescent="0.3">
      <c r="A21" s="12" t="s">
        <v>57</v>
      </c>
      <c r="B21" s="3">
        <v>46246</v>
      </c>
      <c r="C21" s="12" t="s">
        <v>55</v>
      </c>
      <c r="D21" s="12">
        <f t="shared" si="2"/>
        <v>1035</v>
      </c>
      <c r="E21" s="12">
        <v>1</v>
      </c>
      <c r="F21" s="12">
        <v>64</v>
      </c>
      <c r="G21" s="12">
        <v>3</v>
      </c>
      <c r="H21" s="12" t="s">
        <v>25</v>
      </c>
      <c r="I21" s="12">
        <v>2E-3</v>
      </c>
      <c r="J21" s="12" t="s">
        <v>26</v>
      </c>
      <c r="K21" s="12" t="s">
        <v>27</v>
      </c>
      <c r="L21" s="12">
        <v>9</v>
      </c>
      <c r="M21" s="12">
        <v>31</v>
      </c>
      <c r="N21" s="12">
        <v>0.1381</v>
      </c>
      <c r="O21" s="12">
        <v>0.48370000000000002</v>
      </c>
      <c r="P21" s="12">
        <v>100</v>
      </c>
      <c r="Q21" s="12">
        <v>75</v>
      </c>
      <c r="R21" s="12">
        <v>0.76659999999999995</v>
      </c>
      <c r="S21" s="12">
        <v>0.75</v>
      </c>
      <c r="T21" s="12">
        <v>0.74470000000000003</v>
      </c>
      <c r="U21" s="12"/>
      <c r="V21" s="12"/>
      <c r="W21" s="12">
        <v>42</v>
      </c>
      <c r="X21" s="12" t="s">
        <v>29</v>
      </c>
    </row>
    <row r="22" spans="1:25" x14ac:dyDescent="0.3">
      <c r="A22" s="12" t="s">
        <v>58</v>
      </c>
      <c r="B22" s="3">
        <v>46246</v>
      </c>
      <c r="C22" s="12" t="s">
        <v>55</v>
      </c>
      <c r="D22" s="12">
        <f t="shared" si="2"/>
        <v>1035</v>
      </c>
      <c r="E22" s="12">
        <v>1</v>
      </c>
      <c r="F22" s="12">
        <v>64</v>
      </c>
      <c r="G22" s="12">
        <v>3</v>
      </c>
      <c r="H22" s="12" t="s">
        <v>25</v>
      </c>
      <c r="I22" s="12">
        <v>2E-3</v>
      </c>
      <c r="J22" s="12" t="s">
        <v>26</v>
      </c>
      <c r="K22" s="12" t="s">
        <v>27</v>
      </c>
      <c r="L22" s="12">
        <v>8</v>
      </c>
      <c r="M22" s="12">
        <v>30</v>
      </c>
      <c r="N22" s="12">
        <v>0.25829999999999997</v>
      </c>
      <c r="O22" s="12">
        <v>0.49859999999999999</v>
      </c>
      <c r="P22" s="12">
        <v>100</v>
      </c>
      <c r="Q22" s="12">
        <v>78.849999999999994</v>
      </c>
      <c r="R22" s="12">
        <v>0.80479999999999996</v>
      </c>
      <c r="S22" s="12">
        <v>0.78849999999999998</v>
      </c>
      <c r="T22" s="12">
        <v>0.78769999999999996</v>
      </c>
      <c r="U22" s="12"/>
      <c r="V22" s="12"/>
      <c r="W22" s="12">
        <v>42</v>
      </c>
      <c r="X22" s="12" t="s">
        <v>29</v>
      </c>
    </row>
    <row r="23" spans="1:25" x14ac:dyDescent="0.3">
      <c r="Q23" s="9"/>
    </row>
    <row r="24" spans="1:25" x14ac:dyDescent="0.3">
      <c r="Q24" s="9"/>
    </row>
    <row r="25" spans="1:25" x14ac:dyDescent="0.3">
      <c r="Q25" s="9"/>
    </row>
    <row r="26" spans="1:25" x14ac:dyDescent="0.3">
      <c r="Q26" s="9"/>
    </row>
    <row r="27" spans="1:25" x14ac:dyDescent="0.3">
      <c r="Q27" s="9"/>
    </row>
    <row r="28" spans="1:25" x14ac:dyDescent="0.3">
      <c r="Q28" s="9"/>
    </row>
  </sheetData>
  <conditionalFormatting sqref="Q12 Q2 Q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 Q13 Q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 Q14 Q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 Q15 Q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c846fc-d192-4030-918b-f5aaaf392c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C255D48C36342866BF5FCBE654A42" ma:contentTypeVersion="10" ma:contentTypeDescription="Create a new document." ma:contentTypeScope="" ma:versionID="1777660d1da4a317fbdaaa8f91f9dc2c">
  <xsd:schema xmlns:xsd="http://www.w3.org/2001/XMLSchema" xmlns:xs="http://www.w3.org/2001/XMLSchema" xmlns:p="http://schemas.microsoft.com/office/2006/metadata/properties" xmlns:ns3="67c846fc-d192-4030-918b-f5aaaf392c60" targetNamespace="http://schemas.microsoft.com/office/2006/metadata/properties" ma:root="true" ma:fieldsID="751f6846df2b7e7498a436b44d79f28b" ns3:_="">
    <xsd:import namespace="67c846fc-d192-4030-918b-f5aaaf392c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846fc-d192-4030-918b-f5aaaf392c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2CB905-AF4C-43F7-959C-0DC6BCA2EBED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67c846fc-d192-4030-918b-f5aaaf392c6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A236AF-9414-4F2B-8CA3-12FC122F95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60E57-0537-4DD7-9793-131DE5C18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c846fc-d192-4030-918b-f5aaaf392c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FFBP Training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Stephen Rainiel Adame</cp:lastModifiedBy>
  <cp:revision/>
  <dcterms:created xsi:type="dcterms:W3CDTF">2026-08-02T12:50:00Z</dcterms:created>
  <dcterms:modified xsi:type="dcterms:W3CDTF">2026-08-14T02:01:10Z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0x010100B44C255D48C36342866BF5FCBE654A42</vt:lpwstr>
  </property>
</Properties>
</file>