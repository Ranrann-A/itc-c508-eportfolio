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Stephen\Downloads\"/>
    </mc:Choice>
  </mc:AlternateContent>
  <xr:revisionPtr revIDLastSave="0" documentId="13_ncr:1_{99BCACA5-F090-4A88-8948-02BEF8FA8F23}" xr6:coauthVersionLast="47" xr6:coauthVersionMax="47" xr10:uidLastSave="{00000000-0000-0000-0000-000000000000}"/>
  <bookViews>
    <workbookView xWindow="-108" yWindow="-108" windowWidth="23256" windowHeight="14616" xr2:uid="{F3AFDA06-7841-45DA-AFDD-07DD193E21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" l="1"/>
  <c r="M7" i="1"/>
  <c r="M13" i="1"/>
  <c r="M11" i="1"/>
  <c r="M14" i="1" s="1"/>
  <c r="M12" i="1"/>
  <c r="M4" i="1"/>
  <c r="L13" i="1"/>
  <c r="L12" i="1"/>
  <c r="L11" i="1"/>
  <c r="M5" i="1"/>
  <c r="M3" i="1"/>
  <c r="M6" i="1" s="1"/>
  <c r="L3" i="1"/>
  <c r="L4" i="1"/>
  <c r="L5" i="1"/>
</calcChain>
</file>

<file path=xl/sharedStrings.xml><?xml version="1.0" encoding="utf-8"?>
<sst xmlns="http://schemas.openxmlformats.org/spreadsheetml/2006/main" count="94" uniqueCount="50">
  <si>
    <t>TestID</t>
  </si>
  <si>
    <t>Test Phrase</t>
  </si>
  <si>
    <t>Expected Class</t>
  </si>
  <si>
    <t>Predicted Class</t>
  </si>
  <si>
    <t>Confidence</t>
  </si>
  <si>
    <t>Correct? (1=Y/0=N)</t>
  </si>
  <si>
    <t>Note</t>
  </si>
  <si>
    <t>CATEGORY ACCURACY TABLE                                                                                                                                          (Before Refinement)</t>
  </si>
  <si>
    <t>TC-01</t>
  </si>
  <si>
    <t>The automated CI/CD pipeline works wonderfully!</t>
  </si>
  <si>
    <t>Positive_Praise</t>
  </si>
  <si>
    <t>Clear Pattern</t>
  </si>
  <si>
    <t>Category</t>
  </si>
  <si>
    <t>Total Tests</t>
  </si>
  <si>
    <t>Correct Predictions</t>
  </si>
  <si>
    <t>Accuracy</t>
  </si>
  <si>
    <t>Average Prediction Confidence</t>
  </si>
  <si>
    <t>TC-02</t>
  </si>
  <si>
    <t>Your support team is amazing and very helpful.</t>
  </si>
  <si>
    <t>TC-03</t>
  </si>
  <si>
    <t>Our server is down! Need immediate tech support!</t>
  </si>
  <si>
    <t>Urgent_Report</t>
  </si>
  <si>
    <t>Negative_Complaint</t>
  </si>
  <si>
    <t>TC-04</t>
  </si>
  <si>
    <t>Locked out of our account and we need help ASAP.</t>
  </si>
  <si>
    <t>Urgent_Support</t>
  </si>
  <si>
    <t xml:space="preserve">TC-05 </t>
  </si>
  <si>
    <t>The dashboard UI is terribly confusing and slow.</t>
  </si>
  <si>
    <t>Overall Confidence:</t>
  </si>
  <si>
    <t>TC-06</t>
  </si>
  <si>
    <t>Oh great, another server crash right during our client demo.</t>
  </si>
  <si>
    <t>Ambiguous / Sarcastic Phrases (Before model refinement)</t>
  </si>
  <si>
    <t>Overall Accuracy</t>
  </si>
  <si>
    <t>TC-07</t>
  </si>
  <si>
    <t>Fantastic job breaking our entire API flow with your update.</t>
  </si>
  <si>
    <t>TC-08</t>
  </si>
  <si>
    <t>Can I change our corporate billing email address?</t>
  </si>
  <si>
    <t>N/A (Administrative)</t>
  </si>
  <si>
    <t>Out-of-Vocabulary / Edge Cases</t>
  </si>
  <si>
    <t>CATEGORY ACCURACY TABLE                                                                                                                                          (After Refinement)</t>
  </si>
  <si>
    <t>TC-09</t>
  </si>
  <si>
    <t>Everything is just wonderful when the system crashes every hour.</t>
  </si>
  <si>
    <t>TC-10</t>
  </si>
  <si>
    <t>Where can I download the invoice for last month's usage?</t>
  </si>
  <si>
    <t>TC-11</t>
  </si>
  <si>
    <t>Ambiguous / Sarcastic Phrases (Post Refinement)</t>
  </si>
  <si>
    <t>TC-12</t>
  </si>
  <si>
    <t>Great job breaking our entire API flow with your update.</t>
  </si>
  <si>
    <t>TC-13</t>
  </si>
  <si>
    <t>Isn't it  just wonderful when the system crashes every hour.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</si>
</sst>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2" borderId="2" xfId="0" applyFill="1" applyBorder="1"/>
    <xf numFmtId="9" fontId="0" fillId="0" borderId="0" xfId="1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9" fontId="0" fillId="0" borderId="0" xfId="1" applyFont="1" applyAlignment="1">
      <alignment wrapText="1"/>
    </xf>
    <xf numFmtId="9" fontId="0" fillId="2" borderId="2" xfId="1" applyFont="1" applyFill="1" applyBorder="1" applyAlignment="1">
      <alignment wrapText="1"/>
    </xf>
    <xf numFmtId="9" fontId="0" fillId="2" borderId="3" xfId="1" applyFont="1" applyFill="1" applyBorder="1"/>
    <xf numFmtId="0" fontId="0" fillId="0" borderId="0" xfId="0" applyAlignment="1">
      <alignment horizontal="center" wrapText="1"/>
    </xf>
  </cellXfs>
  <cellStyles count="2">
    <cellStyle name="Normal" xfId="0" builtinId="0"/>
    <cellStyle name="Percent" xfId="1" builtinId="5"/>
  </cellStyles>
  <dxfs count="6"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6D2D73-6341-4913-8631-3B5266EFA8CF}" name="Table1" displayName="Table1" ref="A1:G14" totalsRowShown="0">
  <autoFilter ref="A1:G14" xr:uid="{D26D2D73-6341-4913-8631-3B5266EFA8CF}"/>
  <tableColumns count="7">
    <tableColumn id="1" xr3:uid="{B5182CBF-1E67-4679-84FC-62F16D2B7E9A}" name="TestID"/>
    <tableColumn id="2" xr3:uid="{CEEDF673-352B-4174-9F84-30D3A57B0E7A}" name="Test Phrase" dataDxfId="5"/>
    <tableColumn id="3" xr3:uid="{8C350784-5611-4608-8EE6-3234FCB2C54C}" name="Expected Class"/>
    <tableColumn id="4" xr3:uid="{C548AF3B-8D6C-49F2-81E1-CA7E3BB56186}" name="Predicted Class"/>
    <tableColumn id="5" xr3:uid="{62126B37-D224-4465-B02E-0E80C7813F26}" name="Confidence"/>
    <tableColumn id="6" xr3:uid="{9860C827-F478-4646-ADEA-838EF2DC5DD5}" name="Correct? (1=Y/0=N)"/>
    <tableColumn id="7" xr3:uid="{A5474A5B-F338-4BAB-B2F1-0AD40A719E8D}" name="Note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8C314A-5D3D-4D1B-914F-5D5C61C7BE37}" name="Table2" displayName="Table2" ref="I2:M7" totalsRowShown="0">
  <autoFilter ref="I2:M7" xr:uid="{3D8C314A-5D3D-4D1B-914F-5D5C61C7BE37}"/>
  <tableColumns count="5">
    <tableColumn id="1" xr3:uid="{D236F7E9-DC48-4A7B-A675-E91C95533759}" name="Category"/>
    <tableColumn id="2" xr3:uid="{41893FCE-547F-4DB0-B1AB-7ECF2CF38E19}" name="Total Tests"/>
    <tableColumn id="3" xr3:uid="{796B899B-86E7-4CBC-B912-743F0EE47FB3}" name="Correct Predictions"/>
    <tableColumn id="4" xr3:uid="{FB784E67-7313-437F-A0FC-3D441A43515A}" name="Accuracy" dataDxfId="3">
      <calculatedColumnFormula>K3/J3</calculatedColumnFormula>
    </tableColumn>
    <tableColumn id="5" xr3:uid="{73DEF621-DBD0-415F-84EF-80FD4D9D0F43}" name="Average Prediction Confidence" dataDxfId="2">
      <calculatedColumnFormula>AVERAGE(E2,E3)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C5425E-C2BF-4768-84BB-6D0AD82B8359}" name="Table24" displayName="Table24" ref="I10:M13" totalsRowShown="0">
  <autoFilter ref="I10:M13" xr:uid="{93C5425E-C2BF-4768-84BB-6D0AD82B8359}"/>
  <tableColumns count="5">
    <tableColumn id="1" xr3:uid="{6C481B3F-0A2E-4082-8133-D4BDC4A4CD39}" name="Category"/>
    <tableColumn id="2" xr3:uid="{777C42E6-E594-4EAC-96E3-119F09FCCDD7}" name="Total Tests"/>
    <tableColumn id="3" xr3:uid="{F7F219BD-E528-4149-841B-E6C56948B38A}" name="Correct Predictions"/>
    <tableColumn id="4" xr3:uid="{70FA0EC4-D584-46A7-BEFE-8474C4F96A03}" name="Accuracy" dataDxfId="1">
      <calculatedColumnFormula>K11/J11</calculatedColumnFormula>
    </tableColumn>
    <tableColumn id="5" xr3:uid="{A60A6E87-FAB7-447F-B465-CA15EF335415}" name="Average Prediction Confidence" dataDxfId="0">
      <calculatedColumnFormula>AVERAGE(E8,E9)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66763-9C95-445E-A498-C99C9E679715}">
  <dimension ref="A1:M15"/>
  <sheetViews>
    <sheetView tabSelected="1" topLeftCell="A6" workbookViewId="0">
      <selection activeCell="I7" sqref="I7"/>
    </sheetView>
  </sheetViews>
  <sheetFormatPr defaultRowHeight="14.45"/>
  <cols>
    <col min="1" max="1" width="10.7109375" customWidth="1"/>
    <col min="2" max="2" width="40.7109375" bestFit="1" customWidth="1"/>
    <col min="3" max="4" width="17.28515625" bestFit="1" customWidth="1"/>
    <col min="5" max="5" width="10.5703125" customWidth="1"/>
    <col min="6" max="6" width="10.28515625" customWidth="1"/>
    <col min="7" max="7" width="19.28515625" style="1" customWidth="1"/>
    <col min="8" max="8" width="4.5703125" style="1" customWidth="1"/>
    <col min="9" max="9" width="17.28515625" bestFit="1" customWidth="1"/>
    <col min="10" max="10" width="11.7109375" customWidth="1"/>
    <col min="11" max="11" width="15" bestFit="1" customWidth="1"/>
    <col min="12" max="12" width="10.85546875" bestFit="1" customWidth="1"/>
    <col min="13" max="13" width="18.7109375" customWidth="1"/>
  </cols>
  <sheetData>
    <row r="1" spans="1:13" ht="28.9" customHeight="1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  <c r="G1" s="1" t="s">
        <v>6</v>
      </c>
      <c r="I1" s="11" t="s">
        <v>7</v>
      </c>
      <c r="J1" s="11"/>
      <c r="K1" s="11"/>
      <c r="L1" s="11"/>
      <c r="M1" s="11"/>
    </row>
    <row r="2" spans="1:13" ht="28.9">
      <c r="A2" t="s">
        <v>8</v>
      </c>
      <c r="B2" s="1" t="s">
        <v>9</v>
      </c>
      <c r="C2" t="s">
        <v>10</v>
      </c>
      <c r="D2" t="s">
        <v>10</v>
      </c>
      <c r="E2">
        <v>0.85</v>
      </c>
      <c r="F2">
        <v>1</v>
      </c>
      <c r="G2" s="1" t="s">
        <v>11</v>
      </c>
      <c r="I2" s="6" t="s">
        <v>12</v>
      </c>
      <c r="J2" s="6" t="s">
        <v>13</v>
      </c>
      <c r="K2" s="7" t="s">
        <v>14</v>
      </c>
      <c r="L2" s="6" t="s">
        <v>15</v>
      </c>
      <c r="M2" s="2" t="s">
        <v>16</v>
      </c>
    </row>
    <row r="3" spans="1:13">
      <c r="A3" t="s">
        <v>17</v>
      </c>
      <c r="B3" s="1" t="s">
        <v>18</v>
      </c>
      <c r="C3" t="s">
        <v>10</v>
      </c>
      <c r="D3" t="s">
        <v>10</v>
      </c>
      <c r="E3">
        <v>0.92</v>
      </c>
      <c r="F3">
        <v>1</v>
      </c>
      <c r="G3" s="1" t="s">
        <v>11</v>
      </c>
      <c r="I3" t="s">
        <v>10</v>
      </c>
      <c r="J3">
        <v>2</v>
      </c>
      <c r="K3">
        <v>2</v>
      </c>
      <c r="L3" s="5">
        <f t="shared" ref="L3:L5" si="0">K3/J3</f>
        <v>1</v>
      </c>
      <c r="M3" s="5">
        <f t="shared" ref="M3" si="1">AVERAGE(E2,E3)</f>
        <v>0.88500000000000001</v>
      </c>
    </row>
    <row r="4" spans="1:13" ht="28.9">
      <c r="A4" t="s">
        <v>19</v>
      </c>
      <c r="B4" s="1" t="s">
        <v>20</v>
      </c>
      <c r="C4" t="s">
        <v>21</v>
      </c>
      <c r="D4" t="s">
        <v>21</v>
      </c>
      <c r="E4">
        <v>0.87</v>
      </c>
      <c r="F4">
        <v>1</v>
      </c>
      <c r="G4" s="1" t="s">
        <v>11</v>
      </c>
      <c r="I4" t="s">
        <v>22</v>
      </c>
      <c r="J4">
        <v>4</v>
      </c>
      <c r="K4">
        <v>3</v>
      </c>
      <c r="L4" s="5">
        <f t="shared" si="0"/>
        <v>0.75</v>
      </c>
      <c r="M4" s="5">
        <f>AVERAGE(E6,E7,E8,E10)</f>
        <v>0.74749999999999994</v>
      </c>
    </row>
    <row r="5" spans="1:13" ht="28.9">
      <c r="A5" t="s">
        <v>23</v>
      </c>
      <c r="B5" s="1" t="s">
        <v>24</v>
      </c>
      <c r="C5" t="s">
        <v>21</v>
      </c>
      <c r="D5" t="s">
        <v>21</v>
      </c>
      <c r="E5">
        <v>0.94</v>
      </c>
      <c r="F5">
        <v>1</v>
      </c>
      <c r="G5" s="1" t="s">
        <v>11</v>
      </c>
      <c r="I5" t="s">
        <v>25</v>
      </c>
      <c r="J5">
        <v>2</v>
      </c>
      <c r="K5">
        <v>2</v>
      </c>
      <c r="L5" s="5">
        <f t="shared" si="0"/>
        <v>1</v>
      </c>
      <c r="M5" s="5">
        <f>AVERAGE(E4,E5)</f>
        <v>0.90500000000000003</v>
      </c>
    </row>
    <row r="6" spans="1:13" ht="28.9">
      <c r="A6" s="2" t="s">
        <v>26</v>
      </c>
      <c r="B6" t="s">
        <v>27</v>
      </c>
      <c r="C6" t="s">
        <v>22</v>
      </c>
      <c r="D6" t="s">
        <v>22</v>
      </c>
      <c r="E6">
        <v>0.9</v>
      </c>
      <c r="F6">
        <v>1</v>
      </c>
      <c r="G6" s="1" t="s">
        <v>11</v>
      </c>
      <c r="L6" s="8" t="s">
        <v>28</v>
      </c>
      <c r="M6" s="5">
        <f>AVERAGE(M3,M4,M5)</f>
        <v>0.84583333333333321</v>
      </c>
    </row>
    <row r="7" spans="1:13" ht="43.15" customHeight="1">
      <c r="A7" t="s">
        <v>29</v>
      </c>
      <c r="B7" s="1" t="s">
        <v>30</v>
      </c>
      <c r="C7" t="s">
        <v>22</v>
      </c>
      <c r="D7" t="s">
        <v>22</v>
      </c>
      <c r="E7">
        <v>0.52</v>
      </c>
      <c r="F7">
        <v>1</v>
      </c>
      <c r="G7" s="1" t="s">
        <v>31</v>
      </c>
      <c r="L7" s="8" t="s">
        <v>32</v>
      </c>
      <c r="M7" s="5">
        <f>AVERAGE(L3,L4,L5)</f>
        <v>0.91666666666666663</v>
      </c>
    </row>
    <row r="8" spans="1:13" ht="43.15">
      <c r="A8" t="s">
        <v>33</v>
      </c>
      <c r="B8" s="1" t="s">
        <v>34</v>
      </c>
      <c r="C8" t="s">
        <v>22</v>
      </c>
      <c r="D8" t="s">
        <v>10</v>
      </c>
      <c r="E8">
        <v>0.75</v>
      </c>
      <c r="F8">
        <v>0</v>
      </c>
      <c r="G8" s="1" t="s">
        <v>31</v>
      </c>
    </row>
    <row r="9" spans="1:13" ht="28.9">
      <c r="A9" t="s">
        <v>35</v>
      </c>
      <c r="B9" s="1" t="s">
        <v>36</v>
      </c>
      <c r="C9" t="s">
        <v>37</v>
      </c>
      <c r="D9" t="s">
        <v>21</v>
      </c>
      <c r="E9">
        <v>0.11</v>
      </c>
      <c r="F9">
        <v>0</v>
      </c>
      <c r="G9" s="1" t="s">
        <v>38</v>
      </c>
      <c r="I9" s="11" t="s">
        <v>39</v>
      </c>
      <c r="J9" s="11"/>
      <c r="K9" s="11"/>
      <c r="L9" s="11"/>
      <c r="M9" s="11"/>
    </row>
    <row r="10" spans="1:13" ht="43.15">
      <c r="A10" t="s">
        <v>40</v>
      </c>
      <c r="B10" s="1" t="s">
        <v>41</v>
      </c>
      <c r="C10" t="s">
        <v>22</v>
      </c>
      <c r="D10" t="s">
        <v>22</v>
      </c>
      <c r="E10">
        <v>0.82</v>
      </c>
      <c r="F10">
        <v>1</v>
      </c>
      <c r="G10" s="1" t="s">
        <v>31</v>
      </c>
      <c r="I10" s="6" t="s">
        <v>12</v>
      </c>
      <c r="J10" s="6" t="s">
        <v>13</v>
      </c>
      <c r="K10" s="7" t="s">
        <v>14</v>
      </c>
      <c r="L10" s="6" t="s">
        <v>15</v>
      </c>
      <c r="M10" s="2" t="s">
        <v>16</v>
      </c>
    </row>
    <row r="11" spans="1:13" ht="28.9">
      <c r="A11" t="s">
        <v>42</v>
      </c>
      <c r="B11" s="1" t="s">
        <v>43</v>
      </c>
      <c r="C11" t="s">
        <v>37</v>
      </c>
      <c r="D11" t="s">
        <v>22</v>
      </c>
      <c r="E11">
        <v>0.04</v>
      </c>
      <c r="F11">
        <v>0</v>
      </c>
      <c r="G11" s="1" t="s">
        <v>38</v>
      </c>
      <c r="I11" t="s">
        <v>10</v>
      </c>
      <c r="J11">
        <v>2</v>
      </c>
      <c r="K11">
        <v>2</v>
      </c>
      <c r="L11" s="5">
        <f t="shared" ref="L11:L13" si="2">K11/J11</f>
        <v>1</v>
      </c>
      <c r="M11" s="5">
        <f>AVERAGE(E2,E3)</f>
        <v>0.88500000000000001</v>
      </c>
    </row>
    <row r="12" spans="1:13" ht="43.15">
      <c r="A12" t="s">
        <v>44</v>
      </c>
      <c r="B12" s="1" t="s">
        <v>30</v>
      </c>
      <c r="C12" t="s">
        <v>22</v>
      </c>
      <c r="D12" t="s">
        <v>22</v>
      </c>
      <c r="E12">
        <v>0.95</v>
      </c>
      <c r="F12">
        <v>1</v>
      </c>
      <c r="G12" s="1" t="s">
        <v>45</v>
      </c>
      <c r="I12" t="s">
        <v>22</v>
      </c>
      <c r="J12">
        <v>4</v>
      </c>
      <c r="K12">
        <v>4</v>
      </c>
      <c r="L12" s="5">
        <f t="shared" si="2"/>
        <v>1</v>
      </c>
      <c r="M12" s="5">
        <f>AVERAGE(E6,E12,E13,E14)</f>
        <v>0.92500000000000004</v>
      </c>
    </row>
    <row r="13" spans="1:13" ht="43.15">
      <c r="A13" t="s">
        <v>46</v>
      </c>
      <c r="B13" s="1" t="s">
        <v>47</v>
      </c>
      <c r="C13" t="s">
        <v>22</v>
      </c>
      <c r="D13" t="s">
        <v>22</v>
      </c>
      <c r="E13">
        <v>0.86</v>
      </c>
      <c r="F13">
        <v>1</v>
      </c>
      <c r="G13" s="1" t="s">
        <v>45</v>
      </c>
      <c r="I13" t="s">
        <v>25</v>
      </c>
      <c r="J13">
        <v>2</v>
      </c>
      <c r="K13">
        <v>2</v>
      </c>
      <c r="L13" s="5">
        <f t="shared" si="2"/>
        <v>1</v>
      </c>
      <c r="M13" s="5">
        <f>AVERAGE(E4,E5)</f>
        <v>0.90500000000000003</v>
      </c>
    </row>
    <row r="14" spans="1:13" ht="43.15">
      <c r="A14" t="s">
        <v>48</v>
      </c>
      <c r="B14" s="1" t="s">
        <v>49</v>
      </c>
      <c r="C14" t="s">
        <v>22</v>
      </c>
      <c r="D14" t="s">
        <v>22</v>
      </c>
      <c r="E14">
        <v>0.99</v>
      </c>
      <c r="F14">
        <v>1</v>
      </c>
      <c r="G14" s="1" t="s">
        <v>45</v>
      </c>
      <c r="L14" s="8" t="s">
        <v>28</v>
      </c>
      <c r="M14" s="5">
        <f>AVERAGE(M11,M12,M13)</f>
        <v>0.90499999999999992</v>
      </c>
    </row>
    <row r="15" spans="1:13" ht="28.9">
      <c r="I15" s="3"/>
      <c r="J15" s="4"/>
      <c r="K15" s="4"/>
      <c r="L15" s="9" t="s">
        <v>32</v>
      </c>
      <c r="M15" s="10">
        <f>AVERAGE(L11,L12,L13)</f>
        <v>1</v>
      </c>
    </row>
  </sheetData>
  <mergeCells count="2">
    <mergeCell ref="I1:M1"/>
    <mergeCell ref="I9:M9"/>
  </mergeCells>
  <phoneticPr fontId="2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1A1C43B83E70418A3CDA5D01DB2CEF" ma:contentTypeVersion="11" ma:contentTypeDescription="Create a new document." ma:contentTypeScope="" ma:versionID="2df84147a898a3ddf5ba904886eddcc8">
  <xsd:schema xmlns:xsd="http://www.w3.org/2001/XMLSchema" xmlns:xs="http://www.w3.org/2001/XMLSchema" xmlns:p="http://schemas.microsoft.com/office/2006/metadata/properties" xmlns:ns2="88470f77-e8df-477e-b0e6-c5be2533062e" xmlns:ns3="0fbbcd4a-5538-4b58-b22e-22825fffb8f4" targetNamespace="http://schemas.microsoft.com/office/2006/metadata/properties" ma:root="true" ma:fieldsID="8e9e0c7eb08ee630ada5dec6243fb3ef" ns2:_="" ns3:_="">
    <xsd:import namespace="88470f77-e8df-477e-b0e6-c5be2533062e"/>
    <xsd:import namespace="0fbbcd4a-5538-4b58-b22e-22825fffb8f4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470f77-e8df-477e-b0e6-c5be2533062e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bbcd4a-5538-4b58-b22e-22825fffb8f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b7c7e6e-e9da-4d75-ab75-81396c33a558}" ma:internalName="TaxCatchAll" ma:showField="CatchAllData" ma:web="0fbbcd4a-5538-4b58-b22e-22825fffb8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470f77-e8df-477e-b0e6-c5be2533062e">
      <Terms xmlns="http://schemas.microsoft.com/office/infopath/2007/PartnerControls"/>
    </lcf76f155ced4ddcb4097134ff3c332f>
    <ReferenceId xmlns="88470f77-e8df-477e-b0e6-c5be2533062e" xsi:nil="true"/>
    <TaxCatchAll xmlns="0fbbcd4a-5538-4b58-b22e-22825fffb8f4" xsi:nil="true"/>
  </documentManagement>
</p:properties>
</file>

<file path=customXml/itemProps1.xml><?xml version="1.0" encoding="utf-8"?>
<ds:datastoreItem xmlns:ds="http://schemas.openxmlformats.org/officeDocument/2006/customXml" ds:itemID="{9D2E65CB-18D4-42E5-9FDF-91F9C86375D6}"/>
</file>

<file path=customXml/itemProps2.xml><?xml version="1.0" encoding="utf-8"?>
<ds:datastoreItem xmlns:ds="http://schemas.openxmlformats.org/officeDocument/2006/customXml" ds:itemID="{E5220F7C-2A32-4F78-ACB3-9436D6713045}"/>
</file>

<file path=customXml/itemProps3.xml><?xml version="1.0" encoding="utf-8"?>
<ds:datastoreItem xmlns:ds="http://schemas.openxmlformats.org/officeDocument/2006/customXml" ds:itemID="{2A50E978-8221-47FD-9182-B6451AE21B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stephenrainiel.adame@gmail.com</dc:creator>
  <cp:keywords/>
  <dc:description/>
  <cp:lastModifiedBy>Rodolfo Raga</cp:lastModifiedBy>
  <cp:revision/>
  <dcterms:created xsi:type="dcterms:W3CDTF">2026-07-31T20:08:33Z</dcterms:created>
  <dcterms:modified xsi:type="dcterms:W3CDTF">2026-08-31T11:03:10Z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0x010100231A1C43B83E70418A3CDA5D01DB2CEF</vt:lpwstr>
  </property>
  <property fmtid="{D5CDD505-2E9C-101B-9397-08002B2CF9AE}" pid="3" name="MediaServiceImageTags">
    <vt:lpwstr/>
  </property>
</Properties>
</file>